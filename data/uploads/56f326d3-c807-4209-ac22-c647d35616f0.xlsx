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sprecoveryservices-my.sharepoint.com/personal/rlizama_msprecovery_com/Documents/Pro forma/Budget_2026/"/>
    </mc:Choice>
  </mc:AlternateContent>
  <xr:revisionPtr revIDLastSave="0" documentId="8_{06F3DD9A-6272-4AED-AE33-7024F9A6DF5A}" xr6:coauthVersionLast="47" xr6:coauthVersionMax="47" xr10:uidLastSave="{00000000-0000-0000-0000-000000000000}"/>
  <bookViews>
    <workbookView xWindow="71880" yWindow="5595" windowWidth="29040" windowHeight="15720" xr2:uid="{00000000-000D-0000-FFFF-FFFF00000000}"/>
  </bookViews>
  <sheets>
    <sheet name="Consolida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2" l="1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N25" i="2"/>
  <c r="N102" i="2" s="1"/>
  <c r="M25" i="2"/>
  <c r="M102" i="2" s="1"/>
  <c r="L25" i="2"/>
  <c r="L102" i="2" s="1"/>
  <c r="K25" i="2"/>
  <c r="K102" i="2" s="1"/>
  <c r="J25" i="2"/>
  <c r="J102" i="2" s="1"/>
  <c r="I25" i="2"/>
  <c r="I102" i="2" s="1"/>
  <c r="H25" i="2"/>
  <c r="H102" i="2" s="1"/>
  <c r="G25" i="2"/>
  <c r="G102" i="2" s="1"/>
  <c r="F25" i="2"/>
  <c r="F102" i="2" s="1"/>
  <c r="E25" i="2"/>
  <c r="E102" i="2" s="1"/>
  <c r="D25" i="2"/>
  <c r="D102" i="2" s="1"/>
  <c r="C25" i="2"/>
  <c r="C102" i="2" s="1"/>
  <c r="B25" i="2"/>
</calcChain>
</file>

<file path=xl/sharedStrings.xml><?xml version="1.0" encoding="utf-8"?>
<sst xmlns="http://schemas.openxmlformats.org/spreadsheetml/2006/main" count="112" uniqueCount="112">
  <si>
    <t>Consolidated</t>
  </si>
  <si>
    <t>Accounts</t>
  </si>
  <si>
    <t>Budget totals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</si>
  <si>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</si>
  <si>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</si>
  <si>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</si>
  <si>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</si>
  <si>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</si>
  <si>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</si>
  <si>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</si>
  <si>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</si>
  <si>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</si>
  <si>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</si>
  <si>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</si>
  <si>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</si>
  <si>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Cost of Goods Sold</t>
  </si>
  <si>
    <t xml:space="preserve">   50100 Court Cost</t>
  </si>
  <si>
    <t xml:space="preserve">   50200 Case Costs</t>
  </si>
  <si>
    <t xml:space="preserve">      50201 Deposition / Mediation Fees</t>
  </si>
  <si>
    <t xml:space="preserve">      50202 Reproduction Fees</t>
  </si>
  <si>
    <t xml:space="preserve">      50203 Transcript Fees</t>
  </si>
  <si>
    <t xml:space="preserve">      50204 Medical Records</t>
  </si>
  <si>
    <t xml:space="preserve">      50205 Crash Report</t>
  </si>
  <si>
    <t xml:space="preserve">   50300 Attorney Fees</t>
  </si>
  <si>
    <t xml:space="preserve">      50301 Attorney fees - Third Party</t>
  </si>
  <si>
    <t xml:space="preserve">      50302 Attorney fees - Co Counsel</t>
  </si>
  <si>
    <t xml:space="preserve">   50400 Process Server</t>
  </si>
  <si>
    <t xml:space="preserve">   50500 Filing fees</t>
  </si>
  <si>
    <t xml:space="preserve">   50600 Advanced Client Costs</t>
  </si>
  <si>
    <t xml:space="preserve">      50601 Discovery Fees</t>
  </si>
  <si>
    <t xml:space="preserve">      50602 Expert Fees</t>
  </si>
  <si>
    <t xml:space="preserve">      50603 Case Litigation Fund</t>
  </si>
  <si>
    <t xml:space="preserve">   Cost of Goods Sold</t>
  </si>
  <si>
    <t>Total Cost of Goods Sold</t>
  </si>
  <si>
    <t>Expense</t>
  </si>
  <si>
    <t xml:space="preserve">   61100 General &amp; Administrative</t>
  </si>
  <si>
    <t xml:space="preserve">      61101 Bank Service Charges</t>
  </si>
  <si>
    <t xml:space="preserve">      61102 Insurance Expense</t>
  </si>
  <si>
    <t xml:space="preserve">      61103 Dues, Associations and Literature</t>
  </si>
  <si>
    <t xml:space="preserve">      61104 Business Licenses and Permits</t>
  </si>
  <si>
    <t xml:space="preserve">      61105 Software Subscriptions</t>
  </si>
  <si>
    <t xml:space="preserve">      61107 Postage and Delivery</t>
  </si>
  <si>
    <t xml:space="preserve">      61109 Office Expenses</t>
  </si>
  <si>
    <t xml:space="preserve">   61200 Business Development</t>
  </si>
  <si>
    <t xml:space="preserve">      61201 Marketing, Advertising &amp; Promotion</t>
  </si>
  <si>
    <t xml:space="preserve">      61202 Donations</t>
  </si>
  <si>
    <t xml:space="preserve">      61203 Political Contributions</t>
  </si>
  <si>
    <t xml:space="preserve">      61204 Business Meals</t>
  </si>
  <si>
    <t xml:space="preserve">      61205 Travel</t>
  </si>
  <si>
    <t xml:space="preserve">   62100 Occupancy</t>
  </si>
  <si>
    <t xml:space="preserve">      62101 Rent Expense</t>
  </si>
  <si>
    <t xml:space="preserve">      62102 Parking</t>
  </si>
  <si>
    <t xml:space="preserve">      62103 Utilities</t>
  </si>
  <si>
    <t xml:space="preserve">      62104 Telecommunications</t>
  </si>
  <si>
    <t xml:space="preserve">      62105 Security Expenses</t>
  </si>
  <si>
    <t xml:space="preserve">      62106 Property Insurance</t>
  </si>
  <si>
    <t xml:space="preserve">      62107 Equipment Expense</t>
  </si>
  <si>
    <t xml:space="preserve">      62108 Repairs &amp; Maintenance</t>
  </si>
  <si>
    <t xml:space="preserve">      62110 Internet</t>
  </si>
  <si>
    <t xml:space="preserve">      62111 Moving Expenses</t>
  </si>
  <si>
    <t xml:space="preserve">   63100 Professional Fees</t>
  </si>
  <si>
    <t xml:space="preserve">      63101 Accounting</t>
  </si>
  <si>
    <t xml:space="preserve">      63102 Consulting</t>
  </si>
  <si>
    <t xml:space="preserve">      63103 IT Outsourcing</t>
  </si>
  <si>
    <t xml:space="preserve">      63104 Process Server</t>
  </si>
  <si>
    <t xml:space="preserve">      63105 Legal Fees</t>
  </si>
  <si>
    <t xml:space="preserve">   64100 Travel Expenses</t>
  </si>
  <si>
    <t xml:space="preserve">      64101 Travel Meals</t>
  </si>
  <si>
    <t xml:space="preserve">      64102 Transportation</t>
  </si>
  <si>
    <t xml:space="preserve">      64103 Hotel &amp; Lodging</t>
  </si>
  <si>
    <t xml:space="preserve">      64104 Parking &amp; Tolls</t>
  </si>
  <si>
    <t xml:space="preserve">   65100 Tax Expenses</t>
  </si>
  <si>
    <t xml:space="preserve">      65101 Property Tax</t>
  </si>
  <si>
    <t xml:space="preserve">      65102 Corporate Taxes</t>
  </si>
  <si>
    <t xml:space="preserve">      65103 Tax Penalties and Interest</t>
  </si>
  <si>
    <t xml:space="preserve">   65200 Interest Expense</t>
  </si>
  <si>
    <t xml:space="preserve">      65201 Interest Expense - Deer Finance LLC</t>
  </si>
  <si>
    <t xml:space="preserve">      65202 Interest Expense - Bond Discount</t>
  </si>
  <si>
    <t xml:space="preserve">      65203 Interest Expense - Kluger</t>
  </si>
  <si>
    <t xml:space="preserve">      65204 Interest Expense - Coffin</t>
  </si>
  <si>
    <t xml:space="preserve">      65205 Interest Expense - Armas</t>
  </si>
  <si>
    <t xml:space="preserve">   65300 Loan Fee Charges</t>
  </si>
  <si>
    <t xml:space="preserve">      65301 Loan Fees - Deer Finance LLC</t>
  </si>
  <si>
    <t xml:space="preserve">      65305 Loan Fees - Armas</t>
  </si>
  <si>
    <t xml:space="preserve">   70100 Payroll Expenses</t>
  </si>
  <si>
    <t xml:space="preserve">      70101 Officer Wages</t>
  </si>
  <si>
    <t xml:space="preserve">      70102 Salaries &amp; Wages</t>
  </si>
  <si>
    <t xml:space="preserve">      70103 Payroll Taxes</t>
  </si>
  <si>
    <t xml:space="preserve">      70104 Payroll Processing Fees</t>
  </si>
  <si>
    <t xml:space="preserve">      70105 Worker's Compensation</t>
  </si>
  <si>
    <t xml:space="preserve">      70106 Health Insurance</t>
  </si>
  <si>
    <t xml:space="preserve">      70107 Employee Benefits</t>
  </si>
  <si>
    <t xml:space="preserve">      70108 Recruiting</t>
  </si>
  <si>
    <t xml:space="preserve">      70109 Continuing Education</t>
  </si>
  <si>
    <t xml:space="preserve">      70110 Employment Agencies</t>
  </si>
  <si>
    <t xml:space="preserve">   Purchases</t>
  </si>
  <si>
    <t xml:space="preserve">   Rent Expenses</t>
  </si>
  <si>
    <t xml:space="preserve">   Suspense Account</t>
  </si>
  <si>
    <t xml:space="preserve">   Unapplied Cash Bill Payment Expense</t>
  </si>
  <si>
    <t xml:space="preserve">   Uncategorized Expense</t>
  </si>
  <si>
    <t>Total Expense</t>
  </si>
  <si>
    <t>Other Income</t>
  </si>
  <si>
    <t xml:space="preserve">   81101 Gain/Loss on Sale of Asset</t>
  </si>
  <si>
    <t xml:space="preserve">   81102 Unrealized Gain/Loss</t>
  </si>
  <si>
    <t>Total Other Income</t>
  </si>
  <si>
    <t>Other Expense</t>
  </si>
  <si>
    <t xml:space="preserve">   90098 Depreciation Expense</t>
  </si>
  <si>
    <t xml:space="preserve">   Reconciliation Discrepancies</t>
  </si>
  <si>
    <t>Total Other Expense</t>
  </si>
  <si>
    <t>Total Net Income</t>
  </si>
  <si>
    <t>MSP Recovery Law Firm_Budget_FY26_P&amp;L_DRAFT_v3.0</t>
  </si>
  <si>
    <t>Total Cost of Goods Sold + 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</si>
</sst>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44" fontId="2" fillId="0" borderId="0" xfId="1" applyFont="1" applyAlignment="1">
      <alignment vertical="center" wrapText="1"/>
    </xf>
    <xf numFmtId="44" fontId="0" fillId="0" borderId="0" xfId="1" applyFont="1"/>
    <xf numFmtId="0" fontId="3" fillId="0" borderId="0" xfId="0" applyFont="1" applyAlignment="1">
      <alignment horizontal="right"/>
    </xf>
    <xf numFmtId="44" fontId="3" fillId="0" borderId="0" xfId="1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9"/>
  <sheetViews>
    <sheetView tabSelected="1" zoomScale="85" zoomScaleNormal="85" workbookViewId="0">
      <pane xSplit="2" ySplit="6" topLeftCell="C7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4.25" x14ac:dyDescent="0.5"/>
  <cols>
    <col min="1" max="1" width="43.3125" customWidth="1"/>
    <col min="2" max="2" width="14.9375" style="4" bestFit="1" customWidth="1"/>
    <col min="3" max="14" width="13.1875" style="4" bestFit="1" customWidth="1"/>
  </cols>
  <sheetData>
    <row r="1" spans="1:14" ht="15.75" x14ac:dyDescent="0.5">
      <c r="A1" s="1" t="s">
        <v>110</v>
      </c>
    </row>
    <row r="2" spans="1:14" ht="15.75" x14ac:dyDescent="0.5"/>
    <row r="3" spans="1:14" ht="15.75" x14ac:dyDescent="0.5"/>
    <row r="4" spans="1:14" ht="15.75" x14ac:dyDescent="0.5"/>
    <row r="5" spans="1:14" s="2" customFormat="1" ht="15.75" x14ac:dyDescent="0.5">
      <c r="A5" s="2" t="s">
        <v>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s="2" customFormat="1" ht="31.5" x14ac:dyDescent="0.5">
      <c r="A6" s="2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</row>
    <row r="7" spans="1:14" ht="15.75" x14ac:dyDescent="0.5">
      <c r="A7" t="s">
        <v>15</v>
      </c>
    </row>
    <row r="8" spans="1:14" ht="15.75" x14ac:dyDescent="0.5">
      <c r="A8" t="s">
        <v>16</v>
      </c>
      <c r="B8" s="4">
        <v>5000</v>
      </c>
      <c r="C8" s="4">
        <v>416.67</v>
      </c>
      <c r="D8" s="4">
        <v>416.67</v>
      </c>
      <c r="E8" s="4">
        <v>416.67</v>
      </c>
      <c r="F8" s="4">
        <v>416.67</v>
      </c>
      <c r="G8" s="4">
        <v>416.67</v>
      </c>
      <c r="H8" s="4">
        <v>416.67</v>
      </c>
      <c r="I8" s="4">
        <v>416.67</v>
      </c>
      <c r="J8" s="4">
        <v>416.67</v>
      </c>
      <c r="K8" s="4">
        <v>416.67</v>
      </c>
      <c r="L8" s="4">
        <v>416.67</v>
      </c>
      <c r="M8" s="4">
        <v>416.67</v>
      </c>
      <c r="N8" s="4">
        <v>416.63</v>
      </c>
    </row>
    <row r="9" spans="1:14" ht="15.75" x14ac:dyDescent="0.5">
      <c r="A9" t="s">
        <v>17</v>
      </c>
    </row>
    <row r="10" spans="1:14" ht="15.75" x14ac:dyDescent="0.5">
      <c r="A10" t="s">
        <v>18</v>
      </c>
      <c r="B10" s="4">
        <v>33750</v>
      </c>
      <c r="C10" s="4">
        <v>2812.5</v>
      </c>
      <c r="D10" s="4">
        <v>2812.5</v>
      </c>
      <c r="E10" s="4">
        <v>2812.5</v>
      </c>
      <c r="F10" s="4">
        <v>2812.5</v>
      </c>
      <c r="G10" s="4">
        <v>2812.5</v>
      </c>
      <c r="H10" s="4">
        <v>2812.5</v>
      </c>
      <c r="I10" s="4">
        <v>2812.5</v>
      </c>
      <c r="J10" s="4">
        <v>2812.5</v>
      </c>
      <c r="K10" s="4">
        <v>2812.5</v>
      </c>
      <c r="L10" s="4">
        <v>2812.5</v>
      </c>
      <c r="M10" s="4">
        <v>2812.5</v>
      </c>
      <c r="N10" s="4">
        <v>2812.5</v>
      </c>
    </row>
    <row r="11" spans="1:14" ht="15.75" x14ac:dyDescent="0.5">
      <c r="A11" t="s">
        <v>19</v>
      </c>
      <c r="B11" s="4">
        <v>12000</v>
      </c>
      <c r="C11" s="4">
        <v>1000</v>
      </c>
      <c r="D11" s="4">
        <v>1000</v>
      </c>
      <c r="E11" s="4">
        <v>1000</v>
      </c>
      <c r="F11" s="4">
        <v>1000</v>
      </c>
      <c r="G11" s="4">
        <v>1000</v>
      </c>
      <c r="H11" s="4">
        <v>1000</v>
      </c>
      <c r="I11" s="4">
        <v>1000</v>
      </c>
      <c r="J11" s="4">
        <v>1000</v>
      </c>
      <c r="K11" s="4">
        <v>1000</v>
      </c>
      <c r="L11" s="4">
        <v>1000</v>
      </c>
      <c r="M11" s="4">
        <v>1000</v>
      </c>
      <c r="N11" s="4">
        <v>1000</v>
      </c>
    </row>
    <row r="12" spans="1:14" ht="15.75" x14ac:dyDescent="0.5">
      <c r="A12" t="s">
        <v>20</v>
      </c>
      <c r="B12" s="4">
        <v>70000.000000000015</v>
      </c>
      <c r="C12" s="4">
        <v>5833.33</v>
      </c>
      <c r="D12" s="4">
        <v>5833.33</v>
      </c>
      <c r="E12" s="4">
        <v>5833.33</v>
      </c>
      <c r="F12" s="4">
        <v>5833.33</v>
      </c>
      <c r="G12" s="4">
        <v>5833.33</v>
      </c>
      <c r="H12" s="4">
        <v>5833.33</v>
      </c>
      <c r="I12" s="4">
        <v>5833.33</v>
      </c>
      <c r="J12" s="4">
        <v>5833.33</v>
      </c>
      <c r="K12" s="4">
        <v>5833.33</v>
      </c>
      <c r="L12" s="4">
        <v>5833.33</v>
      </c>
      <c r="M12" s="4">
        <v>5833.33</v>
      </c>
      <c r="N12" s="4">
        <v>5833.37</v>
      </c>
    </row>
    <row r="13" spans="1:14" ht="15.75" x14ac:dyDescent="0.5">
      <c r="A13" t="s">
        <v>21</v>
      </c>
      <c r="B13" s="4">
        <v>1000.0000000000001</v>
      </c>
      <c r="C13" s="4">
        <v>83.33</v>
      </c>
      <c r="D13" s="4">
        <v>83.33</v>
      </c>
      <c r="E13" s="4">
        <v>83.33</v>
      </c>
      <c r="F13" s="4">
        <v>83.33</v>
      </c>
      <c r="G13" s="4">
        <v>83.33</v>
      </c>
      <c r="H13" s="4">
        <v>83.33</v>
      </c>
      <c r="I13" s="4">
        <v>83.33</v>
      </c>
      <c r="J13" s="4">
        <v>83.33</v>
      </c>
      <c r="K13" s="4">
        <v>83.33</v>
      </c>
      <c r="L13" s="4">
        <v>83.33</v>
      </c>
      <c r="M13" s="4">
        <v>83.33</v>
      </c>
      <c r="N13" s="4">
        <v>83.37</v>
      </c>
    </row>
    <row r="14" spans="1:14" ht="15.75" x14ac:dyDescent="0.5">
      <c r="A14" t="s">
        <v>22</v>
      </c>
      <c r="B14" s="4">
        <v>144</v>
      </c>
      <c r="C14" s="4">
        <v>12</v>
      </c>
      <c r="D14" s="4">
        <v>12</v>
      </c>
      <c r="E14" s="4">
        <v>12</v>
      </c>
      <c r="F14" s="4">
        <v>12</v>
      </c>
      <c r="G14" s="4">
        <v>12</v>
      </c>
      <c r="H14" s="4">
        <v>12</v>
      </c>
      <c r="I14" s="4">
        <v>12</v>
      </c>
      <c r="J14" s="4">
        <v>12</v>
      </c>
      <c r="K14" s="4">
        <v>12</v>
      </c>
      <c r="L14" s="4">
        <v>12</v>
      </c>
      <c r="M14" s="4">
        <v>12</v>
      </c>
      <c r="N14" s="4">
        <v>12</v>
      </c>
    </row>
    <row r="15" spans="1:14" ht="15.75" x14ac:dyDescent="0.5">
      <c r="A15" t="s">
        <v>23</v>
      </c>
    </row>
    <row r="16" spans="1:14" ht="15.75" x14ac:dyDescent="0.5">
      <c r="A16" t="s">
        <v>24</v>
      </c>
    </row>
    <row r="17" spans="1:14" ht="15.75" x14ac:dyDescent="0.5">
      <c r="A17" t="s">
        <v>25</v>
      </c>
    </row>
    <row r="18" spans="1:14" ht="15.75" x14ac:dyDescent="0.5">
      <c r="A18" t="s">
        <v>26</v>
      </c>
      <c r="B18" s="4">
        <v>3999.9999999999995</v>
      </c>
      <c r="C18" s="4">
        <v>333.33</v>
      </c>
      <c r="D18" s="4">
        <v>333.33</v>
      </c>
      <c r="E18" s="4">
        <v>333.33</v>
      </c>
      <c r="F18" s="4">
        <v>333.33</v>
      </c>
      <c r="G18" s="4">
        <v>333.33</v>
      </c>
      <c r="H18" s="4">
        <v>333.33</v>
      </c>
      <c r="I18" s="4">
        <v>333.33</v>
      </c>
      <c r="J18" s="4">
        <v>333.33</v>
      </c>
      <c r="K18" s="4">
        <v>333.33</v>
      </c>
      <c r="L18" s="4">
        <v>333.33</v>
      </c>
      <c r="M18" s="4">
        <v>333.33</v>
      </c>
      <c r="N18" s="4">
        <v>333.37</v>
      </c>
    </row>
    <row r="19" spans="1:14" ht="15.75" x14ac:dyDescent="0.5">
      <c r="A19" t="s">
        <v>27</v>
      </c>
      <c r="B19" s="4">
        <v>3099.9999999999995</v>
      </c>
      <c r="C19" s="4">
        <v>258.33</v>
      </c>
      <c r="D19" s="4">
        <v>258.33</v>
      </c>
      <c r="E19" s="4">
        <v>258.33</v>
      </c>
      <c r="F19" s="4">
        <v>258.33</v>
      </c>
      <c r="G19" s="4">
        <v>258.33</v>
      </c>
      <c r="H19" s="4">
        <v>258.33</v>
      </c>
      <c r="I19" s="4">
        <v>258.33</v>
      </c>
      <c r="J19" s="4">
        <v>258.33</v>
      </c>
      <c r="K19" s="4">
        <v>258.33</v>
      </c>
      <c r="L19" s="4">
        <v>258.33</v>
      </c>
      <c r="M19" s="4">
        <v>258.33</v>
      </c>
      <c r="N19" s="4">
        <v>258.37</v>
      </c>
    </row>
    <row r="20" spans="1:14" ht="15.75" x14ac:dyDescent="0.5">
      <c r="A20" t="s">
        <v>28</v>
      </c>
    </row>
    <row r="21" spans="1:14" ht="15.75" x14ac:dyDescent="0.5">
      <c r="A21" t="s">
        <v>29</v>
      </c>
      <c r="B21" s="4">
        <v>500000</v>
      </c>
      <c r="C21" s="4">
        <v>41666.67</v>
      </c>
      <c r="D21" s="4">
        <v>41666.67</v>
      </c>
      <c r="E21" s="4">
        <v>41666.67</v>
      </c>
      <c r="F21" s="4">
        <v>41666.67</v>
      </c>
      <c r="G21" s="4">
        <v>41666.67</v>
      </c>
      <c r="H21" s="4">
        <v>41666.67</v>
      </c>
      <c r="I21" s="4">
        <v>41666.67</v>
      </c>
      <c r="J21" s="4">
        <v>41666.67</v>
      </c>
      <c r="K21" s="4">
        <v>41666.67</v>
      </c>
      <c r="L21" s="4">
        <v>41666.67</v>
      </c>
      <c r="M21" s="4">
        <v>41666.67</v>
      </c>
      <c r="N21" s="4">
        <v>41666.629999999997</v>
      </c>
    </row>
    <row r="22" spans="1:14" ht="15.75" x14ac:dyDescent="0.5">
      <c r="A22" t="s">
        <v>30</v>
      </c>
      <c r="B22" s="4">
        <v>300000</v>
      </c>
      <c r="C22" s="4">
        <v>25000</v>
      </c>
      <c r="D22" s="4">
        <v>25000</v>
      </c>
      <c r="E22" s="4">
        <v>25000</v>
      </c>
      <c r="F22" s="4">
        <v>25000</v>
      </c>
      <c r="G22" s="4">
        <v>25000</v>
      </c>
      <c r="H22" s="4">
        <v>25000</v>
      </c>
      <c r="I22" s="4">
        <v>25000</v>
      </c>
      <c r="J22" s="4">
        <v>25000</v>
      </c>
      <c r="K22" s="4">
        <v>25000</v>
      </c>
      <c r="L22" s="4">
        <v>25000</v>
      </c>
      <c r="M22" s="4">
        <v>25000</v>
      </c>
      <c r="N22" s="4">
        <v>25000</v>
      </c>
    </row>
    <row r="23" spans="1:14" ht="15.75" x14ac:dyDescent="0.5">
      <c r="A23" t="s">
        <v>31</v>
      </c>
    </row>
    <row r="24" spans="1:14" ht="15.75" x14ac:dyDescent="0.5">
      <c r="A24" t="s">
        <v>32</v>
      </c>
    </row>
    <row r="25" spans="1:14" s="1" customFormat="1" ht="15.75" x14ac:dyDescent="0.5">
      <c r="A25" s="1" t="s">
        <v>33</v>
      </c>
      <c r="B25" s="7">
        <f t="shared" ref="B25:N25" si="0">SUM(B7:B24)</f>
        <v>928994</v>
      </c>
      <c r="C25" s="7">
        <f t="shared" si="0"/>
        <v>77416.160000000003</v>
      </c>
      <c r="D25" s="7">
        <f t="shared" si="0"/>
        <v>77416.160000000003</v>
      </c>
      <c r="E25" s="7">
        <f t="shared" si="0"/>
        <v>77416.160000000003</v>
      </c>
      <c r="F25" s="7">
        <f t="shared" si="0"/>
        <v>77416.160000000003</v>
      </c>
      <c r="G25" s="7">
        <f t="shared" si="0"/>
        <v>77416.160000000003</v>
      </c>
      <c r="H25" s="7">
        <f t="shared" si="0"/>
        <v>77416.160000000003</v>
      </c>
      <c r="I25" s="7">
        <f t="shared" si="0"/>
        <v>77416.160000000003</v>
      </c>
      <c r="J25" s="7">
        <f t="shared" si="0"/>
        <v>77416.160000000003</v>
      </c>
      <c r="K25" s="7">
        <f t="shared" si="0"/>
        <v>77416.160000000003</v>
      </c>
      <c r="L25" s="7">
        <f t="shared" si="0"/>
        <v>77416.160000000003</v>
      </c>
      <c r="M25" s="7">
        <f t="shared" si="0"/>
        <v>77416.160000000003</v>
      </c>
      <c r="N25" s="7">
        <f t="shared" si="0"/>
        <v>77416.239999999991</v>
      </c>
    </row>
    <row r="26" spans="1:14" ht="15.75" x14ac:dyDescent="0.5">
      <c r="A26" t="s">
        <v>34</v>
      </c>
    </row>
    <row r="27" spans="1:14" ht="15.75" x14ac:dyDescent="0.5">
      <c r="A27" t="s">
        <v>35</v>
      </c>
    </row>
    <row r="28" spans="1:14" ht="15.75" x14ac:dyDescent="0.5">
      <c r="A28" t="s">
        <v>36</v>
      </c>
      <c r="B28" s="4">
        <v>36000</v>
      </c>
      <c r="C28" s="4">
        <v>3000</v>
      </c>
      <c r="D28" s="4">
        <v>3000</v>
      </c>
      <c r="E28" s="4">
        <v>3000</v>
      </c>
      <c r="F28" s="4">
        <v>3000</v>
      </c>
      <c r="G28" s="4">
        <v>3000</v>
      </c>
      <c r="H28" s="4">
        <v>3000</v>
      </c>
      <c r="I28" s="4">
        <v>3000</v>
      </c>
      <c r="J28" s="4">
        <v>3000</v>
      </c>
      <c r="K28" s="4">
        <v>3000</v>
      </c>
      <c r="L28" s="4">
        <v>3000</v>
      </c>
      <c r="M28" s="4">
        <v>3000</v>
      </c>
      <c r="N28" s="4">
        <v>3000</v>
      </c>
    </row>
    <row r="29" spans="1:14" ht="15.75" x14ac:dyDescent="0.5">
      <c r="A29" t="s">
        <v>37</v>
      </c>
      <c r="B29" s="4">
        <v>83100</v>
      </c>
      <c r="C29" s="4">
        <v>6925</v>
      </c>
      <c r="D29" s="4">
        <v>6925</v>
      </c>
      <c r="E29" s="4">
        <v>6925</v>
      </c>
      <c r="F29" s="4">
        <v>6925</v>
      </c>
      <c r="G29" s="4">
        <v>6925</v>
      </c>
      <c r="H29" s="4">
        <v>6925</v>
      </c>
      <c r="I29" s="4">
        <v>6925</v>
      </c>
      <c r="J29" s="4">
        <v>6925</v>
      </c>
      <c r="K29" s="4">
        <v>6925</v>
      </c>
      <c r="L29" s="4">
        <v>6925</v>
      </c>
      <c r="M29" s="4">
        <v>6925</v>
      </c>
      <c r="N29" s="4">
        <v>6925</v>
      </c>
    </row>
    <row r="30" spans="1:14" ht="15.75" x14ac:dyDescent="0.5">
      <c r="A30" t="s">
        <v>38</v>
      </c>
      <c r="B30" s="4">
        <v>1200</v>
      </c>
      <c r="C30" s="4">
        <v>100</v>
      </c>
      <c r="D30" s="4">
        <v>100</v>
      </c>
      <c r="E30" s="4">
        <v>100</v>
      </c>
      <c r="F30" s="4">
        <v>100</v>
      </c>
      <c r="G30" s="4">
        <v>100</v>
      </c>
      <c r="H30" s="4">
        <v>100</v>
      </c>
      <c r="I30" s="4">
        <v>100</v>
      </c>
      <c r="J30" s="4">
        <v>100</v>
      </c>
      <c r="K30" s="4">
        <v>100</v>
      </c>
      <c r="L30" s="4">
        <v>100</v>
      </c>
      <c r="M30" s="4">
        <v>100</v>
      </c>
      <c r="N30" s="4">
        <v>100</v>
      </c>
    </row>
    <row r="31" spans="1:14" ht="15.75" x14ac:dyDescent="0.5">
      <c r="A31" t="s">
        <v>39</v>
      </c>
      <c r="B31" s="4">
        <v>6700</v>
      </c>
      <c r="C31" s="4">
        <v>558.33000000000004</v>
      </c>
      <c r="D31" s="4">
        <v>558.33000000000004</v>
      </c>
      <c r="E31" s="4">
        <v>558.33000000000004</v>
      </c>
      <c r="F31" s="4">
        <v>558.33000000000004</v>
      </c>
      <c r="G31" s="4">
        <v>558.33000000000004</v>
      </c>
      <c r="H31" s="4">
        <v>558.33000000000004</v>
      </c>
      <c r="I31" s="4">
        <v>558.33000000000004</v>
      </c>
      <c r="J31" s="4">
        <v>558.33000000000004</v>
      </c>
      <c r="K31" s="4">
        <v>558.33000000000004</v>
      </c>
      <c r="L31" s="4">
        <v>558.33000000000004</v>
      </c>
      <c r="M31" s="4">
        <v>558.33000000000004</v>
      </c>
      <c r="N31" s="4">
        <v>558.37</v>
      </c>
    </row>
    <row r="32" spans="1:14" ht="15.75" x14ac:dyDescent="0.5">
      <c r="A32" t="s">
        <v>40</v>
      </c>
      <c r="B32" s="4">
        <v>84000</v>
      </c>
      <c r="C32" s="4">
        <v>7000</v>
      </c>
      <c r="D32" s="4">
        <v>7000</v>
      </c>
      <c r="E32" s="4">
        <v>7000</v>
      </c>
      <c r="F32" s="4">
        <v>7000</v>
      </c>
      <c r="G32" s="4">
        <v>7000</v>
      </c>
      <c r="H32" s="4">
        <v>7000</v>
      </c>
      <c r="I32" s="4">
        <v>7000</v>
      </c>
      <c r="J32" s="4">
        <v>7000</v>
      </c>
      <c r="K32" s="4">
        <v>7000</v>
      </c>
      <c r="L32" s="4">
        <v>7000</v>
      </c>
      <c r="M32" s="4">
        <v>7000</v>
      </c>
      <c r="N32" s="4">
        <v>7000</v>
      </c>
    </row>
    <row r="33" spans="1:14" ht="15.75" x14ac:dyDescent="0.5">
      <c r="A33" t="s">
        <v>41</v>
      </c>
      <c r="B33" s="4">
        <v>6000</v>
      </c>
      <c r="C33" s="4">
        <v>500</v>
      </c>
      <c r="D33" s="4">
        <v>500</v>
      </c>
      <c r="E33" s="4">
        <v>500</v>
      </c>
      <c r="F33" s="4">
        <v>500</v>
      </c>
      <c r="G33" s="4">
        <v>500</v>
      </c>
      <c r="H33" s="4">
        <v>500</v>
      </c>
      <c r="I33" s="4">
        <v>500</v>
      </c>
      <c r="J33" s="4">
        <v>500</v>
      </c>
      <c r="K33" s="4">
        <v>500</v>
      </c>
      <c r="L33" s="4">
        <v>500</v>
      </c>
      <c r="M33" s="4">
        <v>500</v>
      </c>
      <c r="N33" s="4">
        <v>500</v>
      </c>
    </row>
    <row r="34" spans="1:14" ht="15.75" x14ac:dyDescent="0.5">
      <c r="A34" t="s">
        <v>42</v>
      </c>
      <c r="B34" s="4">
        <v>24000</v>
      </c>
      <c r="C34" s="4">
        <v>2000</v>
      </c>
      <c r="D34" s="4">
        <v>2000</v>
      </c>
      <c r="E34" s="4">
        <v>2000</v>
      </c>
      <c r="F34" s="4">
        <v>2000</v>
      </c>
      <c r="G34" s="4">
        <v>2000</v>
      </c>
      <c r="H34" s="4">
        <v>2000</v>
      </c>
      <c r="I34" s="4">
        <v>2000</v>
      </c>
      <c r="J34" s="4">
        <v>2000</v>
      </c>
      <c r="K34" s="4">
        <v>2000</v>
      </c>
      <c r="L34" s="4">
        <v>2000</v>
      </c>
      <c r="M34" s="4">
        <v>2000</v>
      </c>
      <c r="N34" s="4">
        <v>2000</v>
      </c>
    </row>
    <row r="35" spans="1:14" ht="15.75" x14ac:dyDescent="0.5">
      <c r="A35" t="s">
        <v>43</v>
      </c>
    </row>
    <row r="36" spans="1:14" ht="15.75" x14ac:dyDescent="0.5">
      <c r="A36" t="s">
        <v>44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</row>
    <row r="37" spans="1:14" ht="15.75" x14ac:dyDescent="0.5">
      <c r="A37" t="s">
        <v>45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 ht="15.75" x14ac:dyDescent="0.5">
      <c r="A38" t="s">
        <v>46</v>
      </c>
      <c r="B38" s="4">
        <v>2000</v>
      </c>
      <c r="C38" s="4">
        <v>0</v>
      </c>
      <c r="D38" s="4">
        <v>1000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1000</v>
      </c>
      <c r="L38" s="4">
        <v>0</v>
      </c>
      <c r="M38" s="4">
        <v>0</v>
      </c>
      <c r="N38" s="4">
        <v>0</v>
      </c>
    </row>
    <row r="39" spans="1:14" ht="15.75" x14ac:dyDescent="0.5">
      <c r="A39" t="s">
        <v>47</v>
      </c>
      <c r="B39" s="4">
        <v>6000</v>
      </c>
      <c r="C39" s="4">
        <v>500</v>
      </c>
      <c r="D39" s="4">
        <v>500</v>
      </c>
      <c r="E39" s="4">
        <v>500</v>
      </c>
      <c r="F39" s="4">
        <v>500</v>
      </c>
      <c r="G39" s="4">
        <v>500</v>
      </c>
      <c r="H39" s="4">
        <v>500</v>
      </c>
      <c r="I39" s="4">
        <v>500</v>
      </c>
      <c r="J39" s="4">
        <v>500</v>
      </c>
      <c r="K39" s="4">
        <v>500</v>
      </c>
      <c r="L39" s="4">
        <v>500</v>
      </c>
      <c r="M39" s="4">
        <v>500</v>
      </c>
      <c r="N39" s="4">
        <v>500</v>
      </c>
    </row>
    <row r="40" spans="1:14" ht="15.75" x14ac:dyDescent="0.5">
      <c r="A40" t="s">
        <v>48</v>
      </c>
    </row>
    <row r="41" spans="1:14" ht="15.75" x14ac:dyDescent="0.5">
      <c r="A41" t="s">
        <v>49</v>
      </c>
    </row>
    <row r="42" spans="1:14" ht="15.75" x14ac:dyDescent="0.5">
      <c r="A42" t="s">
        <v>50</v>
      </c>
      <c r="B42" s="4">
        <v>229820.68</v>
      </c>
      <c r="C42" s="4">
        <v>9711.23</v>
      </c>
      <c r="D42" s="4">
        <v>9711.23</v>
      </c>
      <c r="E42" s="4">
        <v>9711.23</v>
      </c>
      <c r="F42" s="4">
        <v>9711.23</v>
      </c>
      <c r="G42" s="4">
        <v>23871.97</v>
      </c>
      <c r="H42" s="4">
        <v>23871.97</v>
      </c>
      <c r="I42" s="4">
        <v>23871.97</v>
      </c>
      <c r="J42" s="4">
        <v>23871.97</v>
      </c>
      <c r="K42" s="4">
        <v>23871.97</v>
      </c>
      <c r="L42" s="4">
        <v>23871.97</v>
      </c>
      <c r="M42" s="4">
        <v>23871.97</v>
      </c>
      <c r="N42" s="4">
        <v>23871.97</v>
      </c>
    </row>
    <row r="43" spans="1:14" ht="15.75" x14ac:dyDescent="0.5">
      <c r="A43" t="s">
        <v>51</v>
      </c>
      <c r="B43" s="4">
        <v>37800</v>
      </c>
      <c r="C43" s="4">
        <v>3150</v>
      </c>
      <c r="D43" s="4">
        <v>3150</v>
      </c>
      <c r="E43" s="4">
        <v>3150</v>
      </c>
      <c r="F43" s="4">
        <v>3150</v>
      </c>
      <c r="G43" s="4">
        <v>3150</v>
      </c>
      <c r="H43" s="4">
        <v>3150</v>
      </c>
      <c r="I43" s="4">
        <v>3150</v>
      </c>
      <c r="J43" s="4">
        <v>3150</v>
      </c>
      <c r="K43" s="4">
        <v>3150</v>
      </c>
      <c r="L43" s="4">
        <v>3150</v>
      </c>
      <c r="M43" s="4">
        <v>3150</v>
      </c>
      <c r="N43" s="4">
        <v>3150</v>
      </c>
    </row>
    <row r="44" spans="1:14" ht="15.75" x14ac:dyDescent="0.5">
      <c r="A44" t="s">
        <v>52</v>
      </c>
      <c r="B44" s="4">
        <v>25120.67</v>
      </c>
      <c r="C44" s="4">
        <v>2093.39</v>
      </c>
      <c r="D44" s="4">
        <v>2093.39</v>
      </c>
      <c r="E44" s="4">
        <v>2093.39</v>
      </c>
      <c r="F44" s="4">
        <v>2093.39</v>
      </c>
      <c r="G44" s="4">
        <v>2093.39</v>
      </c>
      <c r="H44" s="4">
        <v>2093.39</v>
      </c>
      <c r="I44" s="4">
        <v>2093.39</v>
      </c>
      <c r="J44" s="4">
        <v>2093.39</v>
      </c>
      <c r="K44" s="4">
        <v>2093.39</v>
      </c>
      <c r="L44" s="4">
        <v>2093.39</v>
      </c>
      <c r="M44" s="4">
        <v>2093.39</v>
      </c>
      <c r="N44" s="4">
        <v>2093.38</v>
      </c>
    </row>
    <row r="45" spans="1:14" ht="15.75" x14ac:dyDescent="0.5">
      <c r="A45" t="s">
        <v>53</v>
      </c>
      <c r="B45" s="4">
        <v>29467.8</v>
      </c>
      <c r="C45" s="4">
        <v>2455.65</v>
      </c>
      <c r="D45" s="4">
        <v>2455.65</v>
      </c>
      <c r="E45" s="4">
        <v>2455.65</v>
      </c>
      <c r="F45" s="4">
        <v>2455.65</v>
      </c>
      <c r="G45" s="4">
        <v>2455.65</v>
      </c>
      <c r="H45" s="4">
        <v>2455.65</v>
      </c>
      <c r="I45" s="4">
        <v>2455.65</v>
      </c>
      <c r="J45" s="4">
        <v>2455.65</v>
      </c>
      <c r="K45" s="4">
        <v>2455.65</v>
      </c>
      <c r="L45" s="4">
        <v>2455.65</v>
      </c>
      <c r="M45" s="4">
        <v>2455.65</v>
      </c>
      <c r="N45" s="4">
        <v>2455.65</v>
      </c>
    </row>
    <row r="46" spans="1:14" ht="15.75" x14ac:dyDescent="0.5">
      <c r="A46" t="s">
        <v>54</v>
      </c>
    </row>
    <row r="47" spans="1:14" ht="15.75" x14ac:dyDescent="0.5">
      <c r="A47" t="s">
        <v>55</v>
      </c>
    </row>
    <row r="48" spans="1:14" ht="15.75" x14ac:dyDescent="0.5">
      <c r="A48" t="s">
        <v>56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</row>
    <row r="49" spans="1:14" ht="15.75" x14ac:dyDescent="0.5">
      <c r="A49" t="s">
        <v>57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</row>
    <row r="50" spans="1:14" ht="15.75" x14ac:dyDescent="0.5">
      <c r="A50" t="s">
        <v>58</v>
      </c>
      <c r="B50" s="4">
        <v>19500</v>
      </c>
      <c r="C50" s="4">
        <v>1625</v>
      </c>
      <c r="D50" s="4">
        <v>1625</v>
      </c>
      <c r="E50" s="4">
        <v>1625</v>
      </c>
      <c r="F50" s="4">
        <v>1625</v>
      </c>
      <c r="G50" s="4">
        <v>1625</v>
      </c>
      <c r="H50" s="4">
        <v>1625</v>
      </c>
      <c r="I50" s="4">
        <v>1625</v>
      </c>
      <c r="J50" s="4">
        <v>1625</v>
      </c>
      <c r="K50" s="4">
        <v>1625</v>
      </c>
      <c r="L50" s="4">
        <v>1625</v>
      </c>
      <c r="M50" s="4">
        <v>1625</v>
      </c>
      <c r="N50" s="4">
        <v>1625</v>
      </c>
    </row>
    <row r="51" spans="1:14" ht="15.75" x14ac:dyDescent="0.5">
      <c r="A51" t="s">
        <v>59</v>
      </c>
    </row>
    <row r="52" spans="1:14" ht="15.75" x14ac:dyDescent="0.5">
      <c r="A52" t="s">
        <v>60</v>
      </c>
    </row>
    <row r="53" spans="1:14" ht="15.75" x14ac:dyDescent="0.5">
      <c r="A53" t="s">
        <v>61</v>
      </c>
      <c r="B53" s="4">
        <v>100000</v>
      </c>
      <c r="C53" s="4">
        <v>8333.33</v>
      </c>
      <c r="D53" s="4">
        <v>8333.33</v>
      </c>
      <c r="E53" s="4">
        <v>8333.33</v>
      </c>
      <c r="F53" s="4">
        <v>8333.33</v>
      </c>
      <c r="G53" s="4">
        <v>8333.33</v>
      </c>
      <c r="H53" s="4">
        <v>8333.33</v>
      </c>
      <c r="I53" s="4">
        <v>8333.33</v>
      </c>
      <c r="J53" s="4">
        <v>8333.33</v>
      </c>
      <c r="K53" s="4">
        <v>8333.33</v>
      </c>
      <c r="L53" s="4">
        <v>8333.33</v>
      </c>
      <c r="M53" s="4">
        <v>8333.33</v>
      </c>
      <c r="N53" s="4">
        <v>8333.3700000000008</v>
      </c>
    </row>
    <row r="54" spans="1:14" ht="15.75" x14ac:dyDescent="0.5">
      <c r="A54" t="s">
        <v>62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 ht="15.75" x14ac:dyDescent="0.5">
      <c r="A55" t="s">
        <v>63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 ht="15.75" x14ac:dyDescent="0.5">
      <c r="A56" t="s">
        <v>64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 ht="15.75" x14ac:dyDescent="0.5">
      <c r="A57" t="s">
        <v>65</v>
      </c>
      <c r="B57" s="4">
        <v>50000</v>
      </c>
      <c r="C57" s="4">
        <v>4166.67</v>
      </c>
      <c r="D57" s="4">
        <v>4166.67</v>
      </c>
      <c r="E57" s="4">
        <v>4166.67</v>
      </c>
      <c r="F57" s="4">
        <v>4166.67</v>
      </c>
      <c r="G57" s="4">
        <v>4166.67</v>
      </c>
      <c r="H57" s="4">
        <v>4166.67</v>
      </c>
      <c r="I57" s="4">
        <v>4166.67</v>
      </c>
      <c r="J57" s="4">
        <v>4166.67</v>
      </c>
      <c r="K57" s="4">
        <v>4166.67</v>
      </c>
      <c r="L57" s="4">
        <v>4166.67</v>
      </c>
      <c r="M57" s="4">
        <v>4166.67</v>
      </c>
      <c r="N57" s="4">
        <v>4166.63</v>
      </c>
    </row>
    <row r="58" spans="1:14" ht="15.75" x14ac:dyDescent="0.5">
      <c r="A58" t="s">
        <v>66</v>
      </c>
    </row>
    <row r="59" spans="1:14" ht="15.75" x14ac:dyDescent="0.5">
      <c r="A59" t="s">
        <v>67</v>
      </c>
      <c r="B59" s="4">
        <v>5000</v>
      </c>
      <c r="C59" s="4">
        <v>416.67</v>
      </c>
      <c r="D59" s="4">
        <v>416.67</v>
      </c>
      <c r="E59" s="4">
        <v>416.67</v>
      </c>
      <c r="F59" s="4">
        <v>416.67</v>
      </c>
      <c r="G59" s="4">
        <v>416.67</v>
      </c>
      <c r="H59" s="4">
        <v>416.67</v>
      </c>
      <c r="I59" s="4">
        <v>416.67</v>
      </c>
      <c r="J59" s="4">
        <v>416.67</v>
      </c>
      <c r="K59" s="4">
        <v>416.67</v>
      </c>
      <c r="L59" s="4">
        <v>416.67</v>
      </c>
      <c r="M59" s="4">
        <v>416.67</v>
      </c>
      <c r="N59" s="4">
        <v>416.63</v>
      </c>
    </row>
    <row r="60" spans="1:14" ht="15.75" x14ac:dyDescent="0.5">
      <c r="A60" t="s">
        <v>68</v>
      </c>
      <c r="B60" s="4">
        <v>7000</v>
      </c>
      <c r="C60" s="4">
        <v>583.33000000000004</v>
      </c>
      <c r="D60" s="4">
        <v>583.33000000000004</v>
      </c>
      <c r="E60" s="4">
        <v>583.33000000000004</v>
      </c>
      <c r="F60" s="4">
        <v>583.33000000000004</v>
      </c>
      <c r="G60" s="4">
        <v>583.33000000000004</v>
      </c>
      <c r="H60" s="4">
        <v>583.33000000000004</v>
      </c>
      <c r="I60" s="4">
        <v>583.33000000000004</v>
      </c>
      <c r="J60" s="4">
        <v>583.33000000000004</v>
      </c>
      <c r="K60" s="4">
        <v>583.33000000000004</v>
      </c>
      <c r="L60" s="4">
        <v>583.33000000000004</v>
      </c>
      <c r="M60" s="4">
        <v>583.33000000000004</v>
      </c>
      <c r="N60" s="4">
        <v>583.37</v>
      </c>
    </row>
    <row r="61" spans="1:14" ht="15.75" x14ac:dyDescent="0.5">
      <c r="A61" t="s">
        <v>69</v>
      </c>
      <c r="B61" s="4">
        <v>20000</v>
      </c>
      <c r="C61" s="4">
        <v>1666.67</v>
      </c>
      <c r="D61" s="4">
        <v>1666.67</v>
      </c>
      <c r="E61" s="4">
        <v>1666.67</v>
      </c>
      <c r="F61" s="4">
        <v>1666.67</v>
      </c>
      <c r="G61" s="4">
        <v>1666.67</v>
      </c>
      <c r="H61" s="4">
        <v>1666.67</v>
      </c>
      <c r="I61" s="4">
        <v>1666.67</v>
      </c>
      <c r="J61" s="4">
        <v>1666.67</v>
      </c>
      <c r="K61" s="4">
        <v>1666.67</v>
      </c>
      <c r="L61" s="4">
        <v>1666.67</v>
      </c>
      <c r="M61" s="4">
        <v>1666.67</v>
      </c>
      <c r="N61" s="4">
        <v>1666.63</v>
      </c>
    </row>
    <row r="62" spans="1:14" ht="15.75" x14ac:dyDescent="0.5">
      <c r="A62" t="s">
        <v>70</v>
      </c>
      <c r="B62" s="4">
        <v>1200</v>
      </c>
      <c r="C62" s="4">
        <v>100</v>
      </c>
      <c r="D62" s="4">
        <v>100</v>
      </c>
      <c r="E62" s="4">
        <v>100</v>
      </c>
      <c r="F62" s="4">
        <v>100</v>
      </c>
      <c r="G62" s="4">
        <v>100</v>
      </c>
      <c r="H62" s="4">
        <v>100</v>
      </c>
      <c r="I62" s="4">
        <v>100</v>
      </c>
      <c r="J62" s="4">
        <v>100</v>
      </c>
      <c r="K62" s="4">
        <v>100</v>
      </c>
      <c r="L62" s="4">
        <v>100</v>
      </c>
      <c r="M62" s="4">
        <v>100</v>
      </c>
      <c r="N62" s="4">
        <v>100</v>
      </c>
    </row>
    <row r="63" spans="1:14" ht="15.75" x14ac:dyDescent="0.5">
      <c r="A63" t="s">
        <v>71</v>
      </c>
    </row>
    <row r="64" spans="1:14" ht="15.75" x14ac:dyDescent="0.5">
      <c r="A64" t="s">
        <v>72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</row>
    <row r="65" spans="1:14" ht="15.75" x14ac:dyDescent="0.5">
      <c r="A65" t="s">
        <v>73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 ht="15.75" x14ac:dyDescent="0.5">
      <c r="A66" t="s">
        <v>74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</row>
    <row r="67" spans="1:14" ht="15.75" x14ac:dyDescent="0.5">
      <c r="A67" t="s">
        <v>75</v>
      </c>
    </row>
    <row r="68" spans="1:14" ht="15.75" x14ac:dyDescent="0.5">
      <c r="A68" t="s">
        <v>76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 ht="15.75" x14ac:dyDescent="0.5">
      <c r="A69" t="s">
        <v>77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 ht="15.75" x14ac:dyDescent="0.5">
      <c r="A70" t="s">
        <v>78</v>
      </c>
    </row>
    <row r="71" spans="1:14" ht="15.75" x14ac:dyDescent="0.5">
      <c r="A71" t="s">
        <v>79</v>
      </c>
    </row>
    <row r="72" spans="1:14" ht="15.75" x14ac:dyDescent="0.5">
      <c r="A72" t="s">
        <v>80</v>
      </c>
    </row>
    <row r="73" spans="1:14" ht="15.75" x14ac:dyDescent="0.5">
      <c r="A73" t="s">
        <v>81</v>
      </c>
    </row>
    <row r="74" spans="1:14" ht="15.75" x14ac:dyDescent="0.5">
      <c r="A74" t="s">
        <v>82</v>
      </c>
      <c r="B74" s="4">
        <v>240000</v>
      </c>
      <c r="C74" s="4">
        <v>20000</v>
      </c>
      <c r="D74" s="4">
        <v>20000</v>
      </c>
      <c r="E74" s="4">
        <v>20000</v>
      </c>
      <c r="F74" s="4">
        <v>20000</v>
      </c>
      <c r="G74" s="4">
        <v>20000</v>
      </c>
      <c r="H74" s="4">
        <v>20000</v>
      </c>
      <c r="I74" s="4">
        <v>20000</v>
      </c>
      <c r="J74" s="4">
        <v>20000</v>
      </c>
      <c r="K74" s="4">
        <v>20000</v>
      </c>
      <c r="L74" s="4">
        <v>20000</v>
      </c>
      <c r="M74" s="4">
        <v>20000</v>
      </c>
      <c r="N74" s="4">
        <v>20000</v>
      </c>
    </row>
    <row r="75" spans="1:14" ht="15.75" x14ac:dyDescent="0.5">
      <c r="A75" t="s">
        <v>83</v>
      </c>
    </row>
    <row r="76" spans="1:14" ht="15.75" x14ac:dyDescent="0.5">
      <c r="A76" t="s">
        <v>84</v>
      </c>
    </row>
    <row r="77" spans="1:14" ht="15.75" x14ac:dyDescent="0.5">
      <c r="A77" t="s">
        <v>85</v>
      </c>
    </row>
    <row r="78" spans="1:14" ht="15.75" x14ac:dyDescent="0.5">
      <c r="A78" t="s">
        <v>86</v>
      </c>
      <c r="B78" s="4">
        <v>1691376</v>
      </c>
      <c r="C78" s="4">
        <v>140948</v>
      </c>
      <c r="D78" s="4">
        <v>140948</v>
      </c>
      <c r="E78" s="4">
        <v>140948</v>
      </c>
      <c r="F78" s="4">
        <v>140948</v>
      </c>
      <c r="G78" s="4">
        <v>140948</v>
      </c>
      <c r="H78" s="4">
        <v>140948</v>
      </c>
      <c r="I78" s="4">
        <v>140948</v>
      </c>
      <c r="J78" s="4">
        <v>140948</v>
      </c>
      <c r="K78" s="4">
        <v>140948</v>
      </c>
      <c r="L78" s="4">
        <v>140948</v>
      </c>
      <c r="M78" s="4">
        <v>140948</v>
      </c>
      <c r="N78" s="4">
        <v>140948</v>
      </c>
    </row>
    <row r="79" spans="1:14" ht="15.75" x14ac:dyDescent="0.5">
      <c r="A79" t="s">
        <v>87</v>
      </c>
    </row>
    <row r="80" spans="1:14" ht="15.75" x14ac:dyDescent="0.5">
      <c r="A80" t="s">
        <v>88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</row>
    <row r="81" spans="1:14" ht="15.75" x14ac:dyDescent="0.5">
      <c r="A81" t="s">
        <v>89</v>
      </c>
    </row>
    <row r="82" spans="1:14" ht="15.75" x14ac:dyDescent="0.5">
      <c r="A82" t="s">
        <v>90</v>
      </c>
    </row>
    <row r="83" spans="1:14" ht="15.75" x14ac:dyDescent="0.5">
      <c r="A83" t="s">
        <v>91</v>
      </c>
      <c r="B83" s="4">
        <v>129630</v>
      </c>
      <c r="C83" s="4">
        <v>10802.5</v>
      </c>
      <c r="D83" s="4">
        <v>10802.5</v>
      </c>
      <c r="E83" s="4">
        <v>10802.5</v>
      </c>
      <c r="F83" s="4">
        <v>10802.5</v>
      </c>
      <c r="G83" s="4">
        <v>10802.5</v>
      </c>
      <c r="H83" s="4">
        <v>10802.5</v>
      </c>
      <c r="I83" s="4">
        <v>10802.5</v>
      </c>
      <c r="J83" s="4">
        <v>10802.5</v>
      </c>
      <c r="K83" s="4">
        <v>10802.5</v>
      </c>
      <c r="L83" s="4">
        <v>10802.5</v>
      </c>
      <c r="M83" s="4">
        <v>10802.5</v>
      </c>
      <c r="N83" s="4">
        <v>10802.5</v>
      </c>
    </row>
    <row r="84" spans="1:14" ht="15.75" x14ac:dyDescent="0.5">
      <c r="A84" t="s">
        <v>92</v>
      </c>
    </row>
    <row r="85" spans="1:14" ht="15.75" x14ac:dyDescent="0.5">
      <c r="A85" t="s">
        <v>93</v>
      </c>
    </row>
    <row r="86" spans="1:14" ht="15.75" x14ac:dyDescent="0.5">
      <c r="A86" t="s">
        <v>94</v>
      </c>
    </row>
    <row r="87" spans="1:14" ht="15.75" x14ac:dyDescent="0.5">
      <c r="A87" t="s">
        <v>95</v>
      </c>
    </row>
    <row r="88" spans="1:14" ht="15.75" x14ac:dyDescent="0.5">
      <c r="A88" t="s">
        <v>96</v>
      </c>
      <c r="B88" s="4">
        <v>267620</v>
      </c>
      <c r="C88" s="4">
        <v>12861</v>
      </c>
      <c r="D88" s="4">
        <v>12861</v>
      </c>
      <c r="E88" s="4">
        <v>12861</v>
      </c>
      <c r="F88" s="4">
        <v>12861</v>
      </c>
      <c r="G88" s="4">
        <v>27022</v>
      </c>
      <c r="H88" s="4">
        <v>27022</v>
      </c>
      <c r="I88" s="4">
        <v>27022</v>
      </c>
      <c r="J88" s="4">
        <v>27022</v>
      </c>
      <c r="K88" s="4">
        <v>27022</v>
      </c>
      <c r="L88" s="4">
        <v>27022</v>
      </c>
      <c r="M88" s="4">
        <v>27022</v>
      </c>
      <c r="N88" s="4">
        <v>27022</v>
      </c>
    </row>
    <row r="89" spans="1:14" ht="15.75" x14ac:dyDescent="0.5">
      <c r="A89" t="s">
        <v>97</v>
      </c>
    </row>
    <row r="90" spans="1:14" ht="15.75" x14ac:dyDescent="0.5">
      <c r="A90" t="s">
        <v>98</v>
      </c>
    </row>
    <row r="91" spans="1:14" ht="15.75" x14ac:dyDescent="0.5">
      <c r="A91" t="s">
        <v>99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</row>
    <row r="92" spans="1:14" s="1" customFormat="1" ht="15.75" x14ac:dyDescent="0.5">
      <c r="A92" s="1" t="s">
        <v>100</v>
      </c>
      <c r="B92" s="7">
        <f t="shared" ref="B92:N92" si="1">SUM(B26:B91)</f>
        <v>3102535.15</v>
      </c>
      <c r="C92" s="7">
        <f t="shared" si="1"/>
        <v>239496.77</v>
      </c>
      <c r="D92" s="7">
        <f t="shared" si="1"/>
        <v>240496.77</v>
      </c>
      <c r="E92" s="7">
        <f t="shared" si="1"/>
        <v>239496.77</v>
      </c>
      <c r="F92" s="7">
        <f t="shared" si="1"/>
        <v>239496.77</v>
      </c>
      <c r="G92" s="7">
        <f t="shared" si="1"/>
        <v>267818.51</v>
      </c>
      <c r="H92" s="7">
        <f t="shared" si="1"/>
        <v>267818.51</v>
      </c>
      <c r="I92" s="7">
        <f t="shared" si="1"/>
        <v>267818.51</v>
      </c>
      <c r="J92" s="7">
        <f t="shared" si="1"/>
        <v>267818.51</v>
      </c>
      <c r="K92" s="7">
        <f t="shared" si="1"/>
        <v>268818.51</v>
      </c>
      <c r="L92" s="7">
        <f t="shared" si="1"/>
        <v>267818.51</v>
      </c>
      <c r="M92" s="7">
        <f t="shared" si="1"/>
        <v>267818.51</v>
      </c>
      <c r="N92" s="7">
        <f t="shared" si="1"/>
        <v>267818.5</v>
      </c>
    </row>
    <row r="93" spans="1:14" ht="15.75" x14ac:dyDescent="0.5">
      <c r="A93" t="s">
        <v>101</v>
      </c>
    </row>
    <row r="94" spans="1:14" ht="15.75" x14ac:dyDescent="0.5">
      <c r="A94" t="s">
        <v>102</v>
      </c>
    </row>
    <row r="95" spans="1:14" ht="15.75" x14ac:dyDescent="0.5">
      <c r="A95" t="s">
        <v>103</v>
      </c>
    </row>
    <row r="96" spans="1:14" ht="15.75" x14ac:dyDescent="0.5">
      <c r="A96" t="s">
        <v>104</v>
      </c>
      <c r="B96" s="4">
        <f t="shared" ref="B96:N96" si="2">SUM(B93:B95)</f>
        <v>0</v>
      </c>
      <c r="C96" s="4">
        <f t="shared" si="2"/>
        <v>0</v>
      </c>
      <c r="D96" s="4">
        <f t="shared" si="2"/>
        <v>0</v>
      </c>
      <c r="E96" s="4">
        <f t="shared" si="2"/>
        <v>0</v>
      </c>
      <c r="F96" s="4">
        <f t="shared" si="2"/>
        <v>0</v>
      </c>
      <c r="G96" s="4">
        <f t="shared" si="2"/>
        <v>0</v>
      </c>
      <c r="H96" s="4">
        <f t="shared" si="2"/>
        <v>0</v>
      </c>
      <c r="I96" s="4">
        <f t="shared" si="2"/>
        <v>0</v>
      </c>
      <c r="J96" s="4">
        <f t="shared" si="2"/>
        <v>0</v>
      </c>
      <c r="K96" s="4">
        <f t="shared" si="2"/>
        <v>0</v>
      </c>
      <c r="L96" s="4">
        <f t="shared" si="2"/>
        <v>0</v>
      </c>
      <c r="M96" s="4">
        <f t="shared" si="2"/>
        <v>0</v>
      </c>
      <c r="N96" s="4">
        <f t="shared" si="2"/>
        <v>0</v>
      </c>
    </row>
    <row r="97" spans="1:14" ht="15.75" x14ac:dyDescent="0.5">
      <c r="A97" t="s">
        <v>105</v>
      </c>
    </row>
    <row r="98" spans="1:14" ht="15.75" x14ac:dyDescent="0.5">
      <c r="A98" t="s">
        <v>106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 ht="15.75" x14ac:dyDescent="0.5">
      <c r="A99" t="s">
        <v>107</v>
      </c>
    </row>
    <row r="100" spans="1:14" ht="15.75" x14ac:dyDescent="0.5">
      <c r="A100" t="s">
        <v>108</v>
      </c>
      <c r="B100" s="4">
        <f t="shared" ref="B100:N100" si="3">SUM(B97:B99)</f>
        <v>0</v>
      </c>
      <c r="C100" s="4">
        <f t="shared" si="3"/>
        <v>0</v>
      </c>
      <c r="D100" s="4">
        <f t="shared" si="3"/>
        <v>0</v>
      </c>
      <c r="E100" s="4">
        <f t="shared" si="3"/>
        <v>0</v>
      </c>
      <c r="F100" s="4">
        <f t="shared" si="3"/>
        <v>0</v>
      </c>
      <c r="G100" s="4">
        <f t="shared" si="3"/>
        <v>0</v>
      </c>
      <c r="H100" s="4">
        <f t="shared" si="3"/>
        <v>0</v>
      </c>
      <c r="I100" s="4">
        <f t="shared" si="3"/>
        <v>0</v>
      </c>
      <c r="J100" s="4">
        <f t="shared" si="3"/>
        <v>0</v>
      </c>
      <c r="K100" s="4">
        <f t="shared" si="3"/>
        <v>0</v>
      </c>
      <c r="L100" s="4">
        <f t="shared" si="3"/>
        <v>0</v>
      </c>
      <c r="M100" s="4">
        <f t="shared" si="3"/>
        <v>0</v>
      </c>
      <c r="N100" s="4">
        <f t="shared" si="3"/>
        <v>0</v>
      </c>
    </row>
    <row r="101" spans="1:14" ht="15.75" x14ac:dyDescent="0.5">
      <c r="A101" t="s">
        <v>109</v>
      </c>
      <c r="B101" s="4">
        <v>-4031529.15</v>
      </c>
      <c r="C101" s="4">
        <v>-316912.93</v>
      </c>
      <c r="D101" s="4">
        <v>-317912.93</v>
      </c>
      <c r="E101" s="4">
        <v>-316912.93</v>
      </c>
      <c r="F101" s="4">
        <v>-316912.93</v>
      </c>
      <c r="G101" s="4">
        <v>-345234.67</v>
      </c>
      <c r="H101" s="4">
        <v>-345234.67</v>
      </c>
      <c r="I101" s="4">
        <v>-345234.67</v>
      </c>
      <c r="J101" s="4">
        <v>-345234.67</v>
      </c>
      <c r="K101" s="4">
        <v>-346234.67</v>
      </c>
      <c r="L101" s="4">
        <v>-345234.67</v>
      </c>
      <c r="M101" s="4">
        <v>-345234.67</v>
      </c>
      <c r="N101" s="4">
        <v>-345234.74</v>
      </c>
    </row>
    <row r="102" spans="1:14" ht="15.75" x14ac:dyDescent="0.5">
      <c r="A102" s="5" t="s">
        <v>111</v>
      </c>
      <c r="B102" s="6">
        <f>B25+B92</f>
        <v>4031529.15</v>
      </c>
      <c r="C102" s="6">
        <f t="shared" ref="C102:N102" si="4">C25+C92</f>
        <v>316912.93</v>
      </c>
      <c r="D102" s="6">
        <f t="shared" si="4"/>
        <v>317912.93</v>
      </c>
      <c r="E102" s="6">
        <f t="shared" si="4"/>
        <v>316912.93</v>
      </c>
      <c r="F102" s="6">
        <f t="shared" si="4"/>
        <v>316912.93</v>
      </c>
      <c r="G102" s="6">
        <f t="shared" si="4"/>
        <v>345234.67000000004</v>
      </c>
      <c r="H102" s="6">
        <f t="shared" si="4"/>
        <v>345234.67000000004</v>
      </c>
      <c r="I102" s="6">
        <f t="shared" si="4"/>
        <v>345234.67000000004</v>
      </c>
      <c r="J102" s="6">
        <f t="shared" si="4"/>
        <v>345234.67000000004</v>
      </c>
      <c r="K102" s="6">
        <f t="shared" si="4"/>
        <v>346234.67000000004</v>
      </c>
      <c r="L102" s="6">
        <f t="shared" si="4"/>
        <v>345234.67000000004</v>
      </c>
      <c r="M102" s="6">
        <f t="shared" si="4"/>
        <v>345234.67000000004</v>
      </c>
      <c r="N102" s="6">
        <f t="shared" si="4"/>
        <v>345234.74</v>
      </c>
    </row>
    <row r="103" spans="1:14" ht="15.75" x14ac:dyDescent="0.5"/>
    <row r="109" spans="1:14" ht="15.75" x14ac:dyDescent="0.5"/>
    <row r="119" ht="15.75" x14ac:dyDescent="0.5"/>
  </sheetData>
  <pageMargins left="0.7" right="0.7" top="0.75" bottom="0.75" header="0.3" footer="0.3"/>
  <ignoredErrors>
    <ignoredError sqref="A5:N6 A7:N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Roberto Lizama</cp:lastModifiedBy>
  <dcterms:created xsi:type="dcterms:W3CDTF">2026-01-16T21:02:20Z</dcterms:created>
  <dcterms:modified xsi:type="dcterms:W3CDTF">2026-01-16T21:03:15Z</dcterms:modified>
</cp:coreProperties>
</file>